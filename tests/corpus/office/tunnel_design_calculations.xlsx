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Civil Projects\underground-tunnel-structural-analysis\excel\"/>
    </mc:Choice>
  </mc:AlternateContent>
  <bookViews>
    <workbookView xWindow="0" yWindow="0" windowWidth="23040" windowHeight="9192"/>
  </bookViews>
  <sheets>
    <sheet name="Design_Basis" sheetId="1" r:id="rId1"/>
    <sheet name="Structural_Lining" sheetId="2" r:id="rId2"/>
    <sheet name="Ventilation" sheetId="3" r:id="rId3"/>
    <sheet name="Drainage" sheetId="4" r:id="rId4"/>
  </sheets>
  <calcPr calcId="162913"/>
</workbook>
</file>

<file path=xl/calcChain.xml><?xml version="1.0" encoding="utf-8"?>
<calcChain xmlns="http://schemas.openxmlformats.org/spreadsheetml/2006/main">
  <c r="F38" i="4" l="1"/>
  <c r="F37" i="4"/>
  <c r="F36" i="4"/>
  <c r="F35" i="4"/>
  <c r="F34" i="4"/>
  <c r="F33" i="4"/>
  <c r="F32" i="4"/>
  <c r="F31" i="4"/>
  <c r="F30" i="4"/>
  <c r="F29" i="4"/>
  <c r="B23" i="4"/>
  <c r="B22" i="4"/>
  <c r="B24" i="4" s="1"/>
  <c r="B25" i="4" s="1"/>
  <c r="B18" i="4"/>
  <c r="B17" i="4"/>
  <c r="B19" i="4" s="1"/>
  <c r="B27" i="3"/>
  <c r="B25" i="3"/>
  <c r="B26" i="3" s="1"/>
  <c r="B28" i="3" s="1"/>
  <c r="B29" i="3" s="1"/>
  <c r="B33" i="3" s="1"/>
  <c r="B34" i="3" s="1"/>
  <c r="B24" i="3"/>
  <c r="B21" i="3"/>
  <c r="B20" i="3"/>
  <c r="B32" i="3" s="1"/>
  <c r="B42" i="2"/>
  <c r="B37" i="2"/>
  <c r="B36" i="2"/>
  <c r="B21" i="2"/>
  <c r="B19" i="2"/>
  <c r="B18" i="2"/>
  <c r="B16" i="2"/>
  <c r="B43" i="4" l="1"/>
  <c r="B40" i="4"/>
  <c r="B37" i="3"/>
  <c r="B38" i="3" s="1"/>
  <c r="B39" i="3" s="1"/>
  <c r="B17" i="2"/>
  <c r="B20" i="2" s="1"/>
  <c r="B22" i="2" s="1"/>
  <c r="B23" i="2" l="1"/>
  <c r="B27" i="2" s="1"/>
  <c r="B45" i="4"/>
  <c r="B44" i="4"/>
  <c r="B32" i="2" l="1"/>
  <c r="B31" i="2"/>
  <c r="B33" i="2" s="1"/>
  <c r="B39" i="2" s="1"/>
  <c r="B26" i="2"/>
  <c r="B28" i="2" l="1"/>
  <c r="B29" i="2"/>
  <c r="B30" i="2" l="1"/>
  <c r="B38" i="2" l="1"/>
  <c r="F72" i="2"/>
  <c r="F54" i="2"/>
  <c r="F61" i="2"/>
  <c r="F71" i="2"/>
  <c r="F58" i="2"/>
  <c r="F59" i="2"/>
  <c r="F64" i="2"/>
  <c r="F62" i="2"/>
  <c r="F53" i="2"/>
  <c r="F69" i="2"/>
  <c r="F63" i="2"/>
  <c r="F52" i="2"/>
  <c r="F68" i="2"/>
  <c r="F50" i="2"/>
  <c r="F66" i="2"/>
  <c r="F57" i="2"/>
  <c r="F51" i="2"/>
  <c r="F67" i="2"/>
  <c r="F56" i="2"/>
  <c r="F70" i="2"/>
  <c r="F55" i="2"/>
  <c r="F60" i="2"/>
  <c r="F49" i="2"/>
  <c r="B74" i="2" s="1"/>
  <c r="F65" i="2"/>
  <c r="B41" i="2" l="1"/>
  <c r="A45" i="2" s="1"/>
  <c r="B40" i="2"/>
  <c r="B43" i="2" s="1"/>
  <c r="B44" i="2" s="1"/>
</calcChain>
</file>

<file path=xl/sharedStrings.xml><?xml version="1.0" encoding="utf-8"?>
<sst xmlns="http://schemas.openxmlformats.org/spreadsheetml/2006/main" count="226" uniqueCount="173">
  <si>
    <t>UNDERGROUND TUNNEL STRUCTURAL ANALYSIS</t>
  </si>
  <si>
    <t>Conceptual design calculations - structural stability, drainage, ventilation &amp; safety</t>
  </si>
  <si>
    <t>PROJECT DESCRIPTION</t>
  </si>
  <si>
    <t>Project type</t>
  </si>
  <si>
    <t>Two-lane single-tube underground road tunnel (conceptual design)</t>
  </si>
  <si>
    <t>Prepared by</t>
  </si>
  <si>
    <t>Tools used</t>
  </si>
  <si>
    <t>AutoCAD (geometry/drawings), Python (engineering calculations), Excel (calc sheets)</t>
  </si>
  <si>
    <t>Scope</t>
  </si>
  <si>
    <t>Structural lining stability, ventilation, drainage, and life-safety checks at concept stage</t>
  </si>
  <si>
    <t>Disclaimer</t>
  </si>
  <si>
    <t>Preliminary / conceptual calculations for a portfolio project. NOT for construction use.</t>
  </si>
  <si>
    <t>KEY GEOMETRIC PARAMETERS (shared across sheets)</t>
  </si>
  <si>
    <t>Excavated (bored) diameter</t>
  </si>
  <si>
    <t>10.0 m</t>
  </si>
  <si>
    <t>Tunnel length</t>
  </si>
  <si>
    <t>800 m</t>
  </si>
  <si>
    <t>Overburden depth to crown</t>
  </si>
  <si>
    <t>25 m</t>
  </si>
  <si>
    <t>Ground type</t>
  </si>
  <si>
    <t>Weathered rock / dense soil (assumed)</t>
  </si>
  <si>
    <t>Traffic</t>
  </si>
  <si>
    <t>Two-lane, design-hour volume 1200 veh/hr</t>
  </si>
  <si>
    <t>DESIGN CODES / REFERENCES USED (conceptual guidance)</t>
  </si>
  <si>
    <t>- IS 4880 (Parts 1-9) - Code of Practice for Design of Tunnels Conveying Water / general tunnel design guidance</t>
  </si>
  <si>
    <t>- IS 456:2000 - Plain and Reinforced Concrete - Code of Practice (permissible stresses, section design)</t>
  </si>
  <si>
    <t>- IRC:SP:91-2019 - Guidelines for Road Tunnels (ventilation, fire &amp; life safety)</t>
  </si>
  <si>
    <t>- PIARC Technical Committee Reports - Road Tunnel Operations (ventilation &amp; smoke control)</t>
  </si>
  <si>
    <t>- Terzaghi, K. (1946) - Rock Defects and Loads on Tunnel Supports (loosening pressure theory)</t>
  </si>
  <si>
    <t>- Einstein, H.H. &amp; Schwartz, C.W. (1979) - Simplified Analysis for Tunnel Supports (elastic ring theory)</t>
  </si>
  <si>
    <t>- Kennedy, W.D. et al. (1996) - Fundamentals of critical velocity in tunnel fires</t>
  </si>
  <si>
    <t>HOW TO USE THIS WORKBOOK</t>
  </si>
  <si>
    <t>- Yellow cells are EDITABLE inputs. All other cells are LIVE FORMULAS - change an input and results recalculate.</t>
  </si>
  <si>
    <t>- Sheet 'Structural_Lining' - Terzaghi loosening pressure, ring thrust/moment, RCC lining stress &amp; FOS check.</t>
  </si>
  <si>
    <t>- Sheet 'Ventilation' - CO-dilution fresh-air demand, critical velocity for smoke control, jet fan count.</t>
  </si>
  <si>
    <t>- Sheet 'Drainage' - groundwater seepage, portal rainfall runoff (Rational Method), pipe sizing, sump/pump.</t>
  </si>
  <si>
    <t>- These mirror the Python scripts in /python (same method &amp; formulas) for cross-verification.</t>
  </si>
  <si>
    <t>STRUCTURAL STABILITY - TUNNEL LINING CHECK</t>
  </si>
  <si>
    <t>Method: Terzaghi loosening pressure + elastic ring (ovaling) theory + RCC section check</t>
  </si>
  <si>
    <t>INPUTS</t>
  </si>
  <si>
    <t>Excavated diameter, D</t>
  </si>
  <si>
    <t>m</t>
  </si>
  <si>
    <t>Trial lining thickness, t</t>
  </si>
  <si>
    <t>Overburden depth, H</t>
  </si>
  <si>
    <t>Unit weight of ground, gamma</t>
  </si>
  <si>
    <t>kN/m3</t>
  </si>
  <si>
    <t>Friction angle, phi</t>
  </si>
  <si>
    <t>deg</t>
  </si>
  <si>
    <t>Cohesion, c</t>
  </si>
  <si>
    <t>kPa</t>
  </si>
  <si>
    <t>Concrete grade, fck</t>
  </si>
  <si>
    <t>MPa</t>
  </si>
  <si>
    <t>Steel grade, fy</t>
  </si>
  <si>
    <t>Target Factor of Safety</t>
  </si>
  <si>
    <t>-</t>
  </si>
  <si>
    <t>TERZAGHI LOOSENING PRESSURE</t>
  </si>
  <si>
    <t>Tunnel radius, R</t>
  </si>
  <si>
    <t>Loosening zone width, B1</t>
  </si>
  <si>
    <t>At-rest coeff., K0 = 1-sin(phi)</t>
  </si>
  <si>
    <t>tan(phi)</t>
  </si>
  <si>
    <t>Terzaghi vertical pressure, Pv</t>
  </si>
  <si>
    <t>Lower-bound floor (0.3*gamma*D)</t>
  </si>
  <si>
    <t>Design vertical pressure, Pv</t>
  </si>
  <si>
    <t>Lateral pressure at springline, Ph = K0*Pv</t>
  </si>
  <si>
    <t>RING THRUST &amp; MOMENT (crown = 0deg, springline = 90deg)</t>
  </si>
  <si>
    <t>Mean pressure, p_mean</t>
  </si>
  <si>
    <t>Deviatoric pressure, p_dev</t>
  </si>
  <si>
    <t>Thrust at crown, N(0)</t>
  </si>
  <si>
    <t>kN/m</t>
  </si>
  <si>
    <t>Thrust at springline, N(90)</t>
  </si>
  <si>
    <t>Max ring thrust, N_max</t>
  </si>
  <si>
    <t>Moment at crown, M(0)</t>
  </si>
  <si>
    <t>kNm/m</t>
  </si>
  <si>
    <t>Moment at springline, M(90)</t>
  </si>
  <si>
    <t>Max ring moment, M_max</t>
  </si>
  <si>
    <t>RCC LINING SECTION CHECK (1 m wide strip)</t>
  </si>
  <si>
    <t>Section area, A = 1 x t</t>
  </si>
  <si>
    <t>m2</t>
  </si>
  <si>
    <t>Section modulus, Z = 1 x t^2/6</t>
  </si>
  <si>
    <t>m3</t>
  </si>
  <si>
    <t>Axial stress = N_max/A /1000</t>
  </si>
  <si>
    <t>Bending stress = M_max/Z /1000</t>
  </si>
  <si>
    <t>Combined max compressive stress</t>
  </si>
  <si>
    <t>Combined stress, opposite fibre</t>
  </si>
  <si>
    <t>Permissible stress = 0.33 fck</t>
  </si>
  <si>
    <t>Factor of Safety (actual)</t>
  </si>
  <si>
    <t>Status</t>
  </si>
  <si>
    <t>LINING THICKNESS SENSITIVITY (trial t vs Factor of Safety)</t>
  </si>
  <si>
    <t>t (m)</t>
  </si>
  <si>
    <t>FOS</t>
  </si>
  <si>
    <t>Min. lining thickness for target FOS</t>
  </si>
  <si>
    <t>LONGITUDINAL VENTILATION DESIGN CHECK</t>
  </si>
  <si>
    <t>Method: traffic-based CO dilution (IRC:SP:91) + Kennedy's critical velocity for smoke control</t>
  </si>
  <si>
    <t>Tunnel length, L</t>
  </si>
  <si>
    <t>Tunnel diameter, D</t>
  </si>
  <si>
    <t>Design-hour traffic volume</t>
  </si>
  <si>
    <t>veh/hr</t>
  </si>
  <si>
    <t>Heavy diesel vehicle share</t>
  </si>
  <si>
    <t>fraction</t>
  </si>
  <si>
    <t>CO emission factor - LMV</t>
  </si>
  <si>
    <t>g/km/veh</t>
  </si>
  <si>
    <t>CO emission factor - HDV</t>
  </si>
  <si>
    <t>Permissible CO (15-min)</t>
  </si>
  <si>
    <t>ppm</t>
  </si>
  <si>
    <t>Design fire heat release rate</t>
  </si>
  <si>
    <t>MW</t>
  </si>
  <si>
    <t>Air density</t>
  </si>
  <si>
    <t>kg/m3</t>
  </si>
  <si>
    <t>Specific heat of air</t>
  </si>
  <si>
    <t>kJ/kg.K</t>
  </si>
  <si>
    <t>Ambient temperature</t>
  </si>
  <si>
    <t>K</t>
  </si>
  <si>
    <t>Darcy friction factor</t>
  </si>
  <si>
    <t>Jet fan thrust (each)</t>
  </si>
  <si>
    <t>N</t>
  </si>
  <si>
    <t>GEOMETRY</t>
  </si>
  <si>
    <t>Cross-sectional area, A = pi.D^2/4</t>
  </si>
  <si>
    <t>Hydraulic diameter (circular = D)</t>
  </si>
  <si>
    <t>CO DILUTION - FRESH AIR DEMAND</t>
  </si>
  <si>
    <t>Heavy diesel vehicles</t>
  </si>
  <si>
    <t>Light vehicles</t>
  </si>
  <si>
    <t>Total CO emission rate</t>
  </si>
  <si>
    <t>g/s</t>
  </si>
  <si>
    <t>Permissible CO, mass basis</t>
  </si>
  <si>
    <t>g/m3</t>
  </si>
  <si>
    <t>Fresh air required, Q</t>
  </si>
  <si>
    <t>m3/s</t>
  </si>
  <si>
    <t>Required velocity (CO dilution)</t>
  </si>
  <si>
    <t>m/s</t>
  </si>
  <si>
    <t>CRITICAL VELOCITY - SMOKE CONTROL (Kennedy)</t>
  </si>
  <si>
    <t>Critical velocity, Vc</t>
  </si>
  <si>
    <t>Governing design velocity</t>
  </si>
  <si>
    <t>Comfort/safety check (1-10 m/s)</t>
  </si>
  <si>
    <t>JET FAN COUNT</t>
  </si>
  <si>
    <t>Friction pressure loss, dP</t>
  </si>
  <si>
    <t>Pa</t>
  </si>
  <si>
    <t>Total thrust required</t>
  </si>
  <si>
    <t>No. of jet fans required</t>
  </si>
  <si>
    <t>nos</t>
  </si>
  <si>
    <t>DRAINAGE SYSTEM SIZING</t>
  </si>
  <si>
    <t>Method: seepage inflow + Rational Method runoff + Manning's pipe sizing + sump/pump check</t>
  </si>
  <si>
    <t>Longitudinal gradient</t>
  </si>
  <si>
    <t>Seepage rate assumed</t>
  </si>
  <si>
    <t>l/s per m</t>
  </si>
  <si>
    <t>Runoff coefficient, C</t>
  </si>
  <si>
    <t>Design rainfall intensity, i</t>
  </si>
  <si>
    <t>mm/hr</t>
  </si>
  <si>
    <t>Portal catchment area</t>
  </si>
  <si>
    <t>ha</t>
  </si>
  <si>
    <t>Manning's roughness, n</t>
  </si>
  <si>
    <t>Trial pipe diameter</t>
  </si>
  <si>
    <t>Sump retention time</t>
  </si>
  <si>
    <t>min</t>
  </si>
  <si>
    <t>Pump duty factor</t>
  </si>
  <si>
    <t>INFLOW ESTIMATES</t>
  </si>
  <si>
    <t>Groundwater seepage inflow</t>
  </si>
  <si>
    <t>l/s</t>
  </si>
  <si>
    <t>Portal rainfall runoff (Rational Method)</t>
  </si>
  <si>
    <t>Total design drain flow</t>
  </si>
  <si>
    <t>INVERT DRAIN PIPE SIZING (Manning's, full-bore)</t>
  </si>
  <si>
    <t>Pipe area</t>
  </si>
  <si>
    <t>Hydraulic radius, R = D/4</t>
  </si>
  <si>
    <t>Full-bore capacity, Q=(1/n)AR^(2/3)S^(1/2)</t>
  </si>
  <si>
    <t>Trial pipe status</t>
  </si>
  <si>
    <t>STANDARD PIPE SIZE CHECK</t>
  </si>
  <si>
    <t>D (m)</t>
  </si>
  <si>
    <t>Capacity (l/s)</t>
  </si>
  <si>
    <t>Minimum standard pipe size required</t>
  </si>
  <si>
    <t>SUMP &amp; PUMP SIZING</t>
  </si>
  <si>
    <t>Peak design inflow to sump</t>
  </si>
  <si>
    <t>Required sump volume</t>
  </si>
  <si>
    <t>Required pump capacity</t>
  </si>
  <si>
    <t>Alok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</si>
</sst>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10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2"/>
      <color rgb="FFFFFFFF"/>
      <name val="Calibri"/>
    </font>
    <font>
      <b/>
      <sz val="11"/>
      <name val="Calibri"/>
    </font>
    <font>
      <sz val="11"/>
      <color rgb="FF000000"/>
      <name val="Calibri"/>
    </font>
    <font>
      <sz val="10"/>
      <name val="Calibri"/>
    </font>
    <font>
      <i/>
      <sz val="10"/>
      <color rgb="FF595959"/>
      <name val="Calibri"/>
    </font>
    <font>
      <sz val="11"/>
      <color rgb="FF0000FF"/>
      <name val="Calibri"/>
    </font>
    <font>
      <i/>
      <sz val="9"/>
      <color rgb="FF80808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/>
    <xf numFmtId="0" fontId="7" fillId="0" borderId="0" xfId="0" applyFont="1"/>
    <xf numFmtId="0" fontId="8" fillId="3" borderId="1" xfId="0" applyFont="1" applyFill="1" applyBorder="1"/>
    <xf numFmtId="0" fontId="9" fillId="0" borderId="0" xfId="0" applyFont="1"/>
    <xf numFmtId="2" fontId="5" fillId="0" borderId="1" xfId="0" applyNumberFormat="1" applyFont="1" applyBorder="1"/>
    <xf numFmtId="164" fontId="5" fillId="0" borderId="1" xfId="0" applyNumberFormat="1" applyFont="1" applyBorder="1"/>
    <xf numFmtId="0" fontId="4" fillId="0" borderId="1" xfId="0" applyFont="1" applyBorder="1"/>
    <xf numFmtId="2" fontId="5" fillId="0" borderId="0" xfId="0" applyNumberFormat="1" applyFont="1"/>
    <xf numFmtId="0" fontId="5" fillId="0" borderId="1" xfId="0" applyFont="1" applyBorder="1"/>
    <xf numFmtId="1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/>
    <xf numFmtId="0" fontId="0" fillId="0" borderId="0" xfId="0"/>
    <xf numFmtId="0" fontId="3" fillId="2" borderId="0" xfId="0" applyFont="1" applyFill="1" applyAlignment="1">
      <alignment vertical="center" inden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showGridLines="0" tabSelected="1" workbookViewId="0">
      <selection activeCell="B6" sqref="B6"/>
    </sheetView>
  </sheetViews>
  <sheetFormatPr defaultRowHeight="14.4" x14ac:dyDescent="0.3"/>
  <cols>
    <col min="1" max="1" width="38" customWidth="1"/>
    <col min="2" max="2" width="55" customWidth="1"/>
    <col min="3" max="3" width="45" customWidth="1"/>
  </cols>
  <sheetData>
    <row r="1" spans="1:3" ht="21" x14ac:dyDescent="0.4">
      <c r="A1" s="1" t="s">
        <v>0</v>
      </c>
    </row>
    <row r="2" spans="1:3" x14ac:dyDescent="0.3">
      <c r="A2" s="2" t="s">
        <v>1</v>
      </c>
    </row>
    <row r="4" spans="1:3" ht="19.95" customHeight="1" x14ac:dyDescent="0.3">
      <c r="A4" s="18" t="s">
        <v>2</v>
      </c>
      <c r="B4" s="17"/>
      <c r="C4" s="17"/>
    </row>
    <row r="5" spans="1:3" ht="28.8" x14ac:dyDescent="0.3">
      <c r="A5" s="3" t="s">
        <v>3</v>
      </c>
      <c r="B5" s="4" t="s">
        <v>4</v>
      </c>
    </row>
    <row r="6" spans="1:3" x14ac:dyDescent="0.3">
      <c r="A6" s="3" t="s">
        <v>5</v>
      </c>
      <c r="B6" s="4" t="s">
        <v>172</v>
      </c>
    </row>
    <row r="7" spans="1:3" ht="28.8" x14ac:dyDescent="0.3">
      <c r="A7" s="3" t="s">
        <v>6</v>
      </c>
      <c r="B7" s="4" t="s">
        <v>7</v>
      </c>
    </row>
    <row r="8" spans="1:3" ht="28.8" x14ac:dyDescent="0.3">
      <c r="A8" s="3" t="s">
        <v>8</v>
      </c>
      <c r="B8" s="4" t="s">
        <v>9</v>
      </c>
    </row>
    <row r="9" spans="1:3" ht="28.8" x14ac:dyDescent="0.3">
      <c r="A9" s="3" t="s">
        <v>10</v>
      </c>
      <c r="B9" s="4" t="s">
        <v>11</v>
      </c>
    </row>
    <row r="11" spans="1:3" ht="19.95" customHeight="1" x14ac:dyDescent="0.3">
      <c r="A11" s="18" t="s">
        <v>12</v>
      </c>
      <c r="B11" s="17"/>
      <c r="C11" s="17"/>
    </row>
    <row r="12" spans="1:3" x14ac:dyDescent="0.3">
      <c r="A12" s="5" t="s">
        <v>13</v>
      </c>
      <c r="B12" s="5" t="s">
        <v>14</v>
      </c>
    </row>
    <row r="13" spans="1:3" x14ac:dyDescent="0.3">
      <c r="A13" s="5" t="s">
        <v>15</v>
      </c>
      <c r="B13" s="5" t="s">
        <v>16</v>
      </c>
    </row>
    <row r="14" spans="1:3" x14ac:dyDescent="0.3">
      <c r="A14" s="5" t="s">
        <v>17</v>
      </c>
      <c r="B14" s="5" t="s">
        <v>18</v>
      </c>
    </row>
    <row r="15" spans="1:3" x14ac:dyDescent="0.3">
      <c r="A15" s="5" t="s">
        <v>19</v>
      </c>
      <c r="B15" s="5" t="s">
        <v>20</v>
      </c>
    </row>
    <row r="16" spans="1:3" x14ac:dyDescent="0.3">
      <c r="A16" s="5" t="s">
        <v>21</v>
      </c>
      <c r="B16" s="5" t="s">
        <v>22</v>
      </c>
    </row>
    <row r="18" spans="1:3" ht="19.95" customHeight="1" x14ac:dyDescent="0.3">
      <c r="A18" s="18" t="s">
        <v>23</v>
      </c>
      <c r="B18" s="17"/>
      <c r="C18" s="17"/>
    </row>
    <row r="19" spans="1:3" x14ac:dyDescent="0.3">
      <c r="A19" s="16" t="s">
        <v>24</v>
      </c>
      <c r="B19" s="17"/>
      <c r="C19" s="17"/>
    </row>
    <row r="20" spans="1:3" x14ac:dyDescent="0.3">
      <c r="A20" s="16" t="s">
        <v>25</v>
      </c>
      <c r="B20" s="17"/>
      <c r="C20" s="17"/>
    </row>
    <row r="21" spans="1:3" x14ac:dyDescent="0.3">
      <c r="A21" s="16" t="s">
        <v>26</v>
      </c>
      <c r="B21" s="17"/>
      <c r="C21" s="17"/>
    </row>
    <row r="22" spans="1:3" x14ac:dyDescent="0.3">
      <c r="A22" s="16" t="s">
        <v>27</v>
      </c>
      <c r="B22" s="17"/>
      <c r="C22" s="17"/>
    </row>
    <row r="23" spans="1:3" x14ac:dyDescent="0.3">
      <c r="A23" s="16" t="s">
        <v>28</v>
      </c>
      <c r="B23" s="17"/>
      <c r="C23" s="17"/>
    </row>
    <row r="24" spans="1:3" x14ac:dyDescent="0.3">
      <c r="A24" s="16" t="s">
        <v>29</v>
      </c>
      <c r="B24" s="17"/>
      <c r="C24" s="17"/>
    </row>
    <row r="25" spans="1:3" x14ac:dyDescent="0.3">
      <c r="A25" s="16" t="s">
        <v>30</v>
      </c>
      <c r="B25" s="17"/>
      <c r="C25" s="17"/>
    </row>
    <row r="27" spans="1:3" ht="19.95" customHeight="1" x14ac:dyDescent="0.3">
      <c r="A27" s="18" t="s">
        <v>31</v>
      </c>
      <c r="B27" s="17"/>
      <c r="C27" s="17"/>
    </row>
    <row r="28" spans="1:3" x14ac:dyDescent="0.3">
      <c r="A28" s="16" t="s">
        <v>32</v>
      </c>
      <c r="B28" s="17"/>
      <c r="C28" s="17"/>
    </row>
    <row r="29" spans="1:3" x14ac:dyDescent="0.3">
      <c r="A29" s="16" t="s">
        <v>33</v>
      </c>
      <c r="B29" s="17"/>
      <c r="C29" s="17"/>
    </row>
    <row r="30" spans="1:3" x14ac:dyDescent="0.3">
      <c r="A30" s="16" t="s">
        <v>34</v>
      </c>
      <c r="B30" s="17"/>
      <c r="C30" s="17"/>
    </row>
    <row r="31" spans="1:3" x14ac:dyDescent="0.3">
      <c r="A31" s="16" t="s">
        <v>35</v>
      </c>
      <c r="B31" s="17"/>
      <c r="C31" s="17"/>
    </row>
    <row r="32" spans="1:3" x14ac:dyDescent="0.3">
      <c r="A32" s="16" t="s">
        <v>36</v>
      </c>
      <c r="B32" s="17"/>
      <c r="C32" s="17"/>
    </row>
  </sheetData>
  <mergeCells count="16">
    <mergeCell ref="A4:C4"/>
    <mergeCell ref="A20:C20"/>
    <mergeCell ref="A24:C24"/>
    <mergeCell ref="A32:C32"/>
    <mergeCell ref="A31:C31"/>
    <mergeCell ref="A22:C22"/>
    <mergeCell ref="A18:C18"/>
    <mergeCell ref="A27:C27"/>
    <mergeCell ref="A21:C21"/>
    <mergeCell ref="A30:C30"/>
    <mergeCell ref="A29:C29"/>
    <mergeCell ref="A25:C25"/>
    <mergeCell ref="A28:C28"/>
    <mergeCell ref="A19:C19"/>
    <mergeCell ref="A11:C11"/>
    <mergeCell ref="A23:C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" customWidth="1"/>
    <col min="2" max="2" width="16" customWidth="1"/>
    <col min="3" max="3" width="30" customWidth="1"/>
    <col min="4" max="4" width="3" customWidth="1"/>
    <col min="5" max="5" width="20" customWidth="1"/>
    <col min="6" max="6" width="14" customWidth="1"/>
  </cols>
  <sheetData>
    <row r="1" spans="1:3" ht="21" x14ac:dyDescent="0.4">
      <c r="A1" s="1" t="s">
        <v>37</v>
      </c>
    </row>
    <row r="2" spans="1:3" x14ac:dyDescent="0.3">
      <c r="A2" s="6" t="s">
        <v>38</v>
      </c>
    </row>
    <row r="4" spans="1:3" ht="19.95" customHeight="1" x14ac:dyDescent="0.3">
      <c r="A4" s="18" t="s">
        <v>39</v>
      </c>
      <c r="B4" s="17"/>
      <c r="C4" s="17"/>
    </row>
    <row r="5" spans="1:3" x14ac:dyDescent="0.3">
      <c r="A5" s="5" t="s">
        <v>40</v>
      </c>
      <c r="B5" s="7">
        <v>10</v>
      </c>
      <c r="C5" s="8" t="s">
        <v>41</v>
      </c>
    </row>
    <row r="6" spans="1:3" x14ac:dyDescent="0.3">
      <c r="A6" s="5" t="s">
        <v>42</v>
      </c>
      <c r="B6" s="7">
        <v>0.35</v>
      </c>
      <c r="C6" s="8" t="s">
        <v>41</v>
      </c>
    </row>
    <row r="7" spans="1:3" x14ac:dyDescent="0.3">
      <c r="A7" s="5" t="s">
        <v>43</v>
      </c>
      <c r="B7" s="7">
        <v>25</v>
      </c>
      <c r="C7" s="8" t="s">
        <v>41</v>
      </c>
    </row>
    <row r="8" spans="1:3" x14ac:dyDescent="0.3">
      <c r="A8" s="5" t="s">
        <v>44</v>
      </c>
      <c r="B8" s="7">
        <v>22</v>
      </c>
      <c r="C8" s="8" t="s">
        <v>45</v>
      </c>
    </row>
    <row r="9" spans="1:3" x14ac:dyDescent="0.3">
      <c r="A9" s="5" t="s">
        <v>46</v>
      </c>
      <c r="B9" s="7">
        <v>30</v>
      </c>
      <c r="C9" s="8" t="s">
        <v>47</v>
      </c>
    </row>
    <row r="10" spans="1:3" x14ac:dyDescent="0.3">
      <c r="A10" s="5" t="s">
        <v>48</v>
      </c>
      <c r="B10" s="7">
        <v>20</v>
      </c>
      <c r="C10" s="8" t="s">
        <v>49</v>
      </c>
    </row>
    <row r="11" spans="1:3" x14ac:dyDescent="0.3">
      <c r="A11" s="5" t="s">
        <v>50</v>
      </c>
      <c r="B11" s="7">
        <v>30</v>
      </c>
      <c r="C11" s="8" t="s">
        <v>51</v>
      </c>
    </row>
    <row r="12" spans="1:3" x14ac:dyDescent="0.3">
      <c r="A12" s="5" t="s">
        <v>52</v>
      </c>
      <c r="B12" s="7">
        <v>500</v>
      </c>
      <c r="C12" s="8" t="s">
        <v>51</v>
      </c>
    </row>
    <row r="13" spans="1:3" x14ac:dyDescent="0.3">
      <c r="A13" s="5" t="s">
        <v>53</v>
      </c>
      <c r="B13" s="7">
        <v>2</v>
      </c>
      <c r="C13" s="8" t="s">
        <v>54</v>
      </c>
    </row>
    <row r="15" spans="1:3" ht="19.95" customHeight="1" x14ac:dyDescent="0.3">
      <c r="A15" s="18" t="s">
        <v>55</v>
      </c>
      <c r="B15" s="17"/>
      <c r="C15" s="17"/>
    </row>
    <row r="16" spans="1:3" x14ac:dyDescent="0.3">
      <c r="A16" s="5" t="s">
        <v>56</v>
      </c>
      <c r="B16" s="9">
        <f>B5/2</f>
        <v>5</v>
      </c>
      <c r="C16" s="8" t="s">
        <v>41</v>
      </c>
    </row>
    <row r="17" spans="1:3" x14ac:dyDescent="0.3">
      <c r="A17" s="5" t="s">
        <v>57</v>
      </c>
      <c r="B17" s="9">
        <f>B16+B16*TAN(RADIANS(45-B9/2))</f>
        <v>7.8867513459481291</v>
      </c>
      <c r="C17" s="8" t="s">
        <v>41</v>
      </c>
    </row>
    <row r="18" spans="1:3" x14ac:dyDescent="0.3">
      <c r="A18" s="5" t="s">
        <v>58</v>
      </c>
      <c r="B18" s="9">
        <f>1-SIN(RADIANS(B9))</f>
        <v>0.5</v>
      </c>
      <c r="C18" s="8" t="s">
        <v>54</v>
      </c>
    </row>
    <row r="19" spans="1:3" x14ac:dyDescent="0.3">
      <c r="A19" s="5" t="s">
        <v>59</v>
      </c>
      <c r="B19" s="9">
        <f>TAN(RADIANS(B9))</f>
        <v>0.57735026918962573</v>
      </c>
      <c r="C19" s="8" t="s">
        <v>54</v>
      </c>
    </row>
    <row r="20" spans="1:3" x14ac:dyDescent="0.3">
      <c r="A20" s="5" t="s">
        <v>60</v>
      </c>
      <c r="B20" s="9">
        <f>(B17*(B8-2*B10/B17)/(2*B18*B19))*(1-EXP(-2*B18*B19*B7/B17))</f>
        <v>194.15366401923717</v>
      </c>
      <c r="C20" s="8" t="s">
        <v>49</v>
      </c>
    </row>
    <row r="21" spans="1:3" x14ac:dyDescent="0.3">
      <c r="A21" s="5" t="s">
        <v>61</v>
      </c>
      <c r="B21" s="9">
        <f>0.3*B8*B5</f>
        <v>66</v>
      </c>
      <c r="C21" s="8" t="s">
        <v>49</v>
      </c>
    </row>
    <row r="22" spans="1:3" x14ac:dyDescent="0.3">
      <c r="A22" s="5" t="s">
        <v>62</v>
      </c>
      <c r="B22" s="9">
        <f>MAX(B20,B21)</f>
        <v>194.15366401923717</v>
      </c>
      <c r="C22" s="8" t="s">
        <v>49</v>
      </c>
    </row>
    <row r="23" spans="1:3" x14ac:dyDescent="0.3">
      <c r="A23" s="5" t="s">
        <v>63</v>
      </c>
      <c r="B23" s="9">
        <f>B18*B22</f>
        <v>97.076832009618585</v>
      </c>
      <c r="C23" s="8" t="s">
        <v>49</v>
      </c>
    </row>
    <row r="25" spans="1:3" ht="19.95" customHeight="1" x14ac:dyDescent="0.3">
      <c r="A25" s="18" t="s">
        <v>64</v>
      </c>
      <c r="B25" s="17"/>
      <c r="C25" s="17"/>
    </row>
    <row r="26" spans="1:3" x14ac:dyDescent="0.3">
      <c r="A26" s="5" t="s">
        <v>65</v>
      </c>
      <c r="B26" s="9">
        <f>(B22+B23)/2</f>
        <v>145.61524801442789</v>
      </c>
      <c r="C26" s="8" t="s">
        <v>49</v>
      </c>
    </row>
    <row r="27" spans="1:3" x14ac:dyDescent="0.3">
      <c r="A27" s="5" t="s">
        <v>66</v>
      </c>
      <c r="B27" s="9">
        <f>(B22-B23)/2</f>
        <v>48.538416004809292</v>
      </c>
      <c r="C27" s="8" t="s">
        <v>49</v>
      </c>
    </row>
    <row r="28" spans="1:3" x14ac:dyDescent="0.3">
      <c r="A28" s="5" t="s">
        <v>67</v>
      </c>
      <c r="B28" s="9">
        <f>B16*(B26-B27)</f>
        <v>485.38416004809301</v>
      </c>
      <c r="C28" s="8" t="s">
        <v>68</v>
      </c>
    </row>
    <row r="29" spans="1:3" x14ac:dyDescent="0.3">
      <c r="A29" s="5" t="s">
        <v>69</v>
      </c>
      <c r="B29" s="9">
        <f>B16*(B26+B27)</f>
        <v>970.76832009618579</v>
      </c>
      <c r="C29" s="8" t="s">
        <v>68</v>
      </c>
    </row>
    <row r="30" spans="1:3" x14ac:dyDescent="0.3">
      <c r="A30" s="5" t="s">
        <v>70</v>
      </c>
      <c r="B30" s="9">
        <f>MAX(ABS(B28),ABS(B29))</f>
        <v>970.76832009618579</v>
      </c>
      <c r="C30" s="8" t="s">
        <v>68</v>
      </c>
    </row>
    <row r="31" spans="1:3" x14ac:dyDescent="0.3">
      <c r="A31" s="5" t="s">
        <v>71</v>
      </c>
      <c r="B31" s="9">
        <f>B16^2*B27/2</f>
        <v>606.7302000601162</v>
      </c>
      <c r="C31" s="8" t="s">
        <v>72</v>
      </c>
    </row>
    <row r="32" spans="1:3" x14ac:dyDescent="0.3">
      <c r="A32" s="5" t="s">
        <v>73</v>
      </c>
      <c r="B32" s="9">
        <f>-B16^2*B27/2</f>
        <v>606.7302000601162</v>
      </c>
      <c r="C32" s="8" t="s">
        <v>72</v>
      </c>
    </row>
    <row r="33" spans="1:6" x14ac:dyDescent="0.3">
      <c r="A33" s="5" t="s">
        <v>74</v>
      </c>
      <c r="B33" s="9">
        <f>MAX(ABS(B31),ABS(B32))</f>
        <v>606.7302000601162</v>
      </c>
      <c r="C33" s="8" t="s">
        <v>72</v>
      </c>
    </row>
    <row r="35" spans="1:6" ht="19.95" customHeight="1" x14ac:dyDescent="0.3">
      <c r="A35" s="18" t="s">
        <v>75</v>
      </c>
      <c r="B35" s="17"/>
      <c r="C35" s="17"/>
    </row>
    <row r="36" spans="1:6" x14ac:dyDescent="0.3">
      <c r="A36" s="5" t="s">
        <v>76</v>
      </c>
      <c r="B36" s="10">
        <f>1*B6</f>
        <v>0.35</v>
      </c>
      <c r="C36" s="8" t="s">
        <v>77</v>
      </c>
    </row>
    <row r="37" spans="1:6" x14ac:dyDescent="0.3">
      <c r="A37" s="5" t="s">
        <v>78</v>
      </c>
      <c r="B37" s="10">
        <f>1*B6^2/6</f>
        <v>2.0416666666666663E-2</v>
      </c>
      <c r="C37" s="8" t="s">
        <v>79</v>
      </c>
    </row>
    <row r="38" spans="1:6" x14ac:dyDescent="0.3">
      <c r="A38" s="5" t="s">
        <v>80</v>
      </c>
      <c r="B38" s="9">
        <f>(B30/B36)/1000</f>
        <v>2.773623771703388</v>
      </c>
      <c r="C38" s="8" t="s">
        <v>51</v>
      </c>
    </row>
    <row r="39" spans="1:6" x14ac:dyDescent="0.3">
      <c r="A39" s="5" t="s">
        <v>81</v>
      </c>
      <c r="B39" s="9">
        <f>(B33/B37)/1000</f>
        <v>29.717397553964883</v>
      </c>
      <c r="C39" s="8" t="s">
        <v>51</v>
      </c>
    </row>
    <row r="40" spans="1:6" x14ac:dyDescent="0.3">
      <c r="A40" s="5" t="s">
        <v>82</v>
      </c>
      <c r="B40" s="9">
        <f>B38+B39</f>
        <v>32.491021325668271</v>
      </c>
      <c r="C40" s="8" t="s">
        <v>51</v>
      </c>
    </row>
    <row r="41" spans="1:6" x14ac:dyDescent="0.3">
      <c r="A41" s="5" t="s">
        <v>83</v>
      </c>
      <c r="B41" s="9">
        <f>B38-B39</f>
        <v>-26.943773782261495</v>
      </c>
      <c r="C41" s="8" t="s">
        <v>51</v>
      </c>
    </row>
    <row r="42" spans="1:6" x14ac:dyDescent="0.3">
      <c r="A42" s="5" t="s">
        <v>84</v>
      </c>
      <c r="B42" s="9">
        <f>0.33*B11</f>
        <v>9.9</v>
      </c>
      <c r="C42" s="8" t="s">
        <v>51</v>
      </c>
    </row>
    <row r="43" spans="1:6" x14ac:dyDescent="0.3">
      <c r="A43" s="5" t="s">
        <v>85</v>
      </c>
      <c r="B43" s="9">
        <f>B42/B40</f>
        <v>0.30469956301985773</v>
      </c>
      <c r="C43" s="8" t="s">
        <v>54</v>
      </c>
    </row>
    <row r="44" spans="1:6" x14ac:dyDescent="0.3">
      <c r="A44" s="3" t="s">
        <v>86</v>
      </c>
      <c r="B44" s="11" t="str">
        <f>IF(B43&gt;=B13,"SAFE","NOT SAFE - increase thickness")</f>
        <v>NOT SAFE - increase thickness</v>
      </c>
    </row>
    <row r="45" spans="1:6" x14ac:dyDescent="0.3">
      <c r="A45" s="19" t="str">
        <f>IF(B41&lt;0,"Note: net tension on inner fibre - provide crack-control reinforcement","No net tension")</f>
        <v>Note: net tension on inner fibre - provide crack-control reinforcement</v>
      </c>
      <c r="B45" s="17"/>
      <c r="C45" s="17"/>
    </row>
    <row r="47" spans="1:6" ht="19.95" customHeight="1" x14ac:dyDescent="0.3">
      <c r="A47" s="18" t="s">
        <v>87</v>
      </c>
      <c r="B47" s="17"/>
      <c r="C47" s="17"/>
    </row>
    <row r="48" spans="1:6" x14ac:dyDescent="0.3">
      <c r="E48" s="3" t="s">
        <v>88</v>
      </c>
      <c r="F48" s="3" t="s">
        <v>89</v>
      </c>
    </row>
    <row r="49" spans="5:6" x14ac:dyDescent="0.3">
      <c r="E49" s="5">
        <v>0.15</v>
      </c>
      <c r="F49" s="12">
        <f>B42/((B30/(1*E49))/1000+(B33/(1*E49^2/6))/1000)</f>
        <v>5.8835237443394833E-2</v>
      </c>
    </row>
    <row r="50" spans="5:6" x14ac:dyDescent="0.3">
      <c r="E50" s="5">
        <v>0.2</v>
      </c>
      <c r="F50" s="12">
        <f>B42/((B30/(1*E50))/1000+(B33/(1*E50^2/6))/1000)</f>
        <v>0.10327197795971416</v>
      </c>
    </row>
    <row r="51" spans="5:6" x14ac:dyDescent="0.3">
      <c r="E51" s="5">
        <v>0.25</v>
      </c>
      <c r="F51" s="12">
        <f>B42/((B30/(1*E51))/1000+(B33/(1*E51^2/6))/1000)</f>
        <v>0.15934543474252769</v>
      </c>
    </row>
    <row r="52" spans="5:6" x14ac:dyDescent="0.3">
      <c r="E52" s="5">
        <v>0.3</v>
      </c>
      <c r="F52" s="12">
        <f>B42/((B30/(1*E52))/1000+(B33/(1*E52^2/6))/1000)</f>
        <v>0.2266246183004838</v>
      </c>
    </row>
    <row r="53" spans="5:6" x14ac:dyDescent="0.3">
      <c r="E53" s="5">
        <v>0.35</v>
      </c>
      <c r="F53" s="12">
        <f>B42/((B30/(1*E53))/1000+(B33/(1*E53^2/6))/1000)</f>
        <v>0.30469956301985773</v>
      </c>
    </row>
    <row r="54" spans="5:6" x14ac:dyDescent="0.3">
      <c r="E54" s="5">
        <v>0.4</v>
      </c>
      <c r="F54" s="12">
        <f>B42/((B30/(1*E54))/1000+(B33/(1*E54^2/6))/1000)</f>
        <v>0.39318006066589972</v>
      </c>
    </row>
    <row r="55" spans="5:6" x14ac:dyDescent="0.3">
      <c r="E55" s="5">
        <v>0.45</v>
      </c>
      <c r="F55" s="12">
        <f>B42/((B30/(1*E55))/1000+(B33/(1*E55^2/6))/1000)</f>
        <v>0.4916944843483711</v>
      </c>
    </row>
    <row r="56" spans="5:6" x14ac:dyDescent="0.3">
      <c r="E56" s="5">
        <v>0.5</v>
      </c>
      <c r="F56" s="12">
        <f>B42/((B30/(1*E56))/1000+(B33/(1*E56^2/6))/1000)</f>
        <v>0.59988869550128066</v>
      </c>
    </row>
    <row r="57" spans="5:6" x14ac:dyDescent="0.3">
      <c r="E57" s="5">
        <v>0.55000000000000004</v>
      </c>
      <c r="F57" s="12">
        <f>B42/((B30/(1*E57))/1000+(B33/(1*E57^2/6))/1000)</f>
        <v>0.71742502711984546</v>
      </c>
    </row>
    <row r="58" spans="5:6" x14ac:dyDescent="0.3">
      <c r="E58" s="5">
        <v>0.6</v>
      </c>
      <c r="F58" s="12">
        <f>B42/((B30/(1*E58))/1000+(B33/(1*E58^2/6))/1000)</f>
        <v>0.843981337119043</v>
      </c>
    </row>
    <row r="59" spans="5:6" x14ac:dyDescent="0.3">
      <c r="E59" s="5">
        <v>0.65</v>
      </c>
      <c r="F59" s="12">
        <f>B42/((B30/(1*E59))/1000+(B33/(1*E59^2/6))/1000)</f>
        <v>0.97925012623589747</v>
      </c>
    </row>
    <row r="60" spans="5:6" x14ac:dyDescent="0.3">
      <c r="E60" s="5">
        <v>0.7</v>
      </c>
      <c r="F60" s="12">
        <f>B42/((B30/(1*E60))/1000+(B33/(1*E60^2/6))/1000)</f>
        <v>1.1229377153990263</v>
      </c>
    </row>
    <row r="61" spans="5:6" x14ac:dyDescent="0.3">
      <c r="E61" s="5">
        <v>0.75</v>
      </c>
      <c r="F61" s="12">
        <f>B42/((B30/(1*E61))/1000+(B33/(1*E61^2/6))/1000)</f>
        <v>1.2747634779402215</v>
      </c>
    </row>
    <row r="62" spans="5:6" x14ac:dyDescent="0.3">
      <c r="E62" s="5">
        <v>0.8</v>
      </c>
      <c r="F62" s="12">
        <f>B42/((B30/(1*E62))/1000+(B33/(1*E62^2/6))/1000)</f>
        <v>1.4344591224294361</v>
      </c>
    </row>
    <row r="63" spans="5:6" x14ac:dyDescent="0.3">
      <c r="E63" s="5">
        <v>0.85</v>
      </c>
      <c r="F63" s="12">
        <f>B42/((B30/(1*E63))/1000+(B33/(1*E63^2/6))/1000)</f>
        <v>1.6017680222814084</v>
      </c>
    </row>
    <row r="64" spans="5:6" x14ac:dyDescent="0.3">
      <c r="E64" s="5">
        <v>0.9</v>
      </c>
      <c r="F64" s="12">
        <f>B42/((B30/(1*E64))/1000+(B33/(1*E64^2/6))/1000)</f>
        <v>1.7764445886134699</v>
      </c>
    </row>
    <row r="65" spans="1:6" x14ac:dyDescent="0.3">
      <c r="E65" s="5">
        <v>0.95</v>
      </c>
      <c r="F65" s="12">
        <f>B42/((B30/(1*E65))/1000+(B33/(1*E65^2/6))/1000)</f>
        <v>1.9582536831337016</v>
      </c>
    </row>
    <row r="66" spans="1:6" x14ac:dyDescent="0.3">
      <c r="E66" s="5">
        <v>1</v>
      </c>
      <c r="F66" s="12">
        <f>B42/((B30/(1*E66))/1000+(B33/(1*E66^2/6))/1000)</f>
        <v>2.1469700681098467</v>
      </c>
    </row>
    <row r="67" spans="1:6" x14ac:dyDescent="0.3">
      <c r="E67" s="5">
        <v>1.05</v>
      </c>
      <c r="F67" s="12">
        <f>B42/((B30/(1*E67))/1000+(B33/(1*E67^2/6))/1000)</f>
        <v>2.3423778907151567</v>
      </c>
    </row>
    <row r="68" spans="1:6" x14ac:dyDescent="0.3">
      <c r="E68" s="5">
        <v>1.1000000000000001</v>
      </c>
      <c r="F68" s="12">
        <f>B42/((B30/(1*E68))/1000+(B33/(1*E68^2/6))/1000)</f>
        <v>2.5442701992703798</v>
      </c>
    </row>
    <row r="69" spans="1:6" x14ac:dyDescent="0.3">
      <c r="E69" s="5">
        <v>1.1499999999999999</v>
      </c>
      <c r="F69" s="12">
        <f>B42/((B30/(1*E69))/1000+(B33/(1*E69^2/6))/1000)</f>
        <v>2.7524484891035796</v>
      </c>
    </row>
    <row r="70" spans="1:6" x14ac:dyDescent="0.3">
      <c r="E70" s="5">
        <v>1.2</v>
      </c>
      <c r="F70" s="12">
        <f>B42/((B30/(1*E70))/1000+(B33/(1*E70^2/6))/1000)</f>
        <v>2.966722275933606</v>
      </c>
    </row>
    <row r="71" spans="1:6" x14ac:dyDescent="0.3">
      <c r="E71" s="5">
        <v>1.25</v>
      </c>
      <c r="F71" s="12">
        <f>B42/((B30/(1*E71))/1000+(B33/(1*E71^2/6))/1000)</f>
        <v>3.1869086948505534</v>
      </c>
    </row>
    <row r="72" spans="1:6" x14ac:dyDescent="0.3">
      <c r="E72" s="5">
        <v>1.3</v>
      </c>
      <c r="F72" s="12">
        <f>B42/((B30/(1*E72))/1000+(B33/(1*E72^2/6))/1000)</f>
        <v>3.4128321231191672</v>
      </c>
    </row>
    <row r="74" spans="1:6" x14ac:dyDescent="0.3">
      <c r="A74" s="5" t="s">
        <v>90</v>
      </c>
      <c r="B74" s="13">
        <f>IFERROR(INDEX(E49:E72,COUNTIF(F49:F72,"&lt;"&amp;B13)+1),"Increase table range")</f>
        <v>1</v>
      </c>
      <c r="C74" s="8" t="s">
        <v>41</v>
      </c>
    </row>
  </sheetData>
  <mergeCells count="6">
    <mergeCell ref="A4:C4"/>
    <mergeCell ref="A25:C25"/>
    <mergeCell ref="A47:C47"/>
    <mergeCell ref="A45:C45"/>
    <mergeCell ref="A35:C35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6" customWidth="1"/>
    <col min="2" max="2" width="16" customWidth="1"/>
    <col min="3" max="3" width="30" customWidth="1"/>
  </cols>
  <sheetData>
    <row r="1" spans="1:3" ht="21" x14ac:dyDescent="0.4">
      <c r="A1" s="1" t="s">
        <v>91</v>
      </c>
    </row>
    <row r="2" spans="1:3" x14ac:dyDescent="0.3">
      <c r="A2" s="6" t="s">
        <v>92</v>
      </c>
    </row>
    <row r="4" spans="1:3" ht="19.95" customHeight="1" x14ac:dyDescent="0.3">
      <c r="A4" s="18" t="s">
        <v>39</v>
      </c>
      <c r="B4" s="17"/>
      <c r="C4" s="17"/>
    </row>
    <row r="5" spans="1:3" x14ac:dyDescent="0.3">
      <c r="A5" s="5" t="s">
        <v>93</v>
      </c>
      <c r="B5" s="7">
        <v>800</v>
      </c>
      <c r="C5" s="8" t="s">
        <v>41</v>
      </c>
    </row>
    <row r="6" spans="1:3" x14ac:dyDescent="0.3">
      <c r="A6" s="5" t="s">
        <v>94</v>
      </c>
      <c r="B6" s="7">
        <v>10</v>
      </c>
      <c r="C6" s="8" t="s">
        <v>41</v>
      </c>
    </row>
    <row r="7" spans="1:3" x14ac:dyDescent="0.3">
      <c r="A7" s="5" t="s">
        <v>95</v>
      </c>
      <c r="B7" s="7">
        <v>1200</v>
      </c>
      <c r="C7" s="8" t="s">
        <v>96</v>
      </c>
    </row>
    <row r="8" spans="1:3" x14ac:dyDescent="0.3">
      <c r="A8" s="5" t="s">
        <v>97</v>
      </c>
      <c r="B8" s="7">
        <v>0.1</v>
      </c>
      <c r="C8" s="8" t="s">
        <v>98</v>
      </c>
    </row>
    <row r="9" spans="1:3" x14ac:dyDescent="0.3">
      <c r="A9" s="5" t="s">
        <v>99</v>
      </c>
      <c r="B9" s="7">
        <v>8</v>
      </c>
      <c r="C9" s="8" t="s">
        <v>100</v>
      </c>
    </row>
    <row r="10" spans="1:3" x14ac:dyDescent="0.3">
      <c r="A10" s="5" t="s">
        <v>101</v>
      </c>
      <c r="B10" s="7">
        <v>12</v>
      </c>
      <c r="C10" s="8" t="s">
        <v>100</v>
      </c>
    </row>
    <row r="11" spans="1:3" x14ac:dyDescent="0.3">
      <c r="A11" s="5" t="s">
        <v>102</v>
      </c>
      <c r="B11" s="7">
        <v>100</v>
      </c>
      <c r="C11" s="8" t="s">
        <v>103</v>
      </c>
    </row>
    <row r="12" spans="1:3" x14ac:dyDescent="0.3">
      <c r="A12" s="5" t="s">
        <v>104</v>
      </c>
      <c r="B12" s="7">
        <v>30</v>
      </c>
      <c r="C12" s="8" t="s">
        <v>105</v>
      </c>
    </row>
    <row r="13" spans="1:3" x14ac:dyDescent="0.3">
      <c r="A13" s="5" t="s">
        <v>106</v>
      </c>
      <c r="B13" s="7">
        <v>1.2</v>
      </c>
      <c r="C13" s="8" t="s">
        <v>107</v>
      </c>
    </row>
    <row r="14" spans="1:3" x14ac:dyDescent="0.3">
      <c r="A14" s="5" t="s">
        <v>108</v>
      </c>
      <c r="B14" s="7">
        <v>1.0049999999999999</v>
      </c>
      <c r="C14" s="8" t="s">
        <v>109</v>
      </c>
    </row>
    <row r="15" spans="1:3" x14ac:dyDescent="0.3">
      <c r="A15" s="5" t="s">
        <v>110</v>
      </c>
      <c r="B15" s="7">
        <v>298</v>
      </c>
      <c r="C15" s="8" t="s">
        <v>111</v>
      </c>
    </row>
    <row r="16" spans="1:3" x14ac:dyDescent="0.3">
      <c r="A16" s="5" t="s">
        <v>112</v>
      </c>
      <c r="B16" s="7">
        <v>0.02</v>
      </c>
      <c r="C16" s="8" t="s">
        <v>54</v>
      </c>
    </row>
    <row r="17" spans="1:3" x14ac:dyDescent="0.3">
      <c r="A17" s="5" t="s">
        <v>113</v>
      </c>
      <c r="B17" s="7">
        <v>1500</v>
      </c>
      <c r="C17" s="8" t="s">
        <v>114</v>
      </c>
    </row>
    <row r="19" spans="1:3" ht="19.95" customHeight="1" x14ac:dyDescent="0.3">
      <c r="A19" s="18" t="s">
        <v>115</v>
      </c>
      <c r="B19" s="17"/>
      <c r="C19" s="17"/>
    </row>
    <row r="20" spans="1:3" x14ac:dyDescent="0.3">
      <c r="A20" s="5" t="s">
        <v>116</v>
      </c>
      <c r="B20" s="9">
        <f>PI()*B6^2/4</f>
        <v>78.539816339744831</v>
      </c>
      <c r="C20" s="8" t="s">
        <v>77</v>
      </c>
    </row>
    <row r="21" spans="1:3" x14ac:dyDescent="0.3">
      <c r="A21" s="5" t="s">
        <v>117</v>
      </c>
      <c r="B21" s="9">
        <f>B6</f>
        <v>10</v>
      </c>
      <c r="C21" s="8" t="s">
        <v>41</v>
      </c>
    </row>
    <row r="23" spans="1:3" ht="19.95" customHeight="1" x14ac:dyDescent="0.3">
      <c r="A23" s="18" t="s">
        <v>118</v>
      </c>
      <c r="B23" s="17"/>
      <c r="C23" s="17"/>
    </row>
    <row r="24" spans="1:3" x14ac:dyDescent="0.3">
      <c r="A24" s="5" t="s">
        <v>119</v>
      </c>
      <c r="B24" s="14">
        <f>B7*B8</f>
        <v>120</v>
      </c>
      <c r="C24" s="8" t="s">
        <v>96</v>
      </c>
    </row>
    <row r="25" spans="1:3" x14ac:dyDescent="0.3">
      <c r="A25" s="5" t="s">
        <v>120</v>
      </c>
      <c r="B25" s="14">
        <f>B7*(1-B8)</f>
        <v>1080</v>
      </c>
      <c r="C25" s="8" t="s">
        <v>96</v>
      </c>
    </row>
    <row r="26" spans="1:3" x14ac:dyDescent="0.3">
      <c r="A26" s="5" t="s">
        <v>121</v>
      </c>
      <c r="B26" s="15">
        <f>((B25*B9)+(B24*B10))*(B5/1000)/3600</f>
        <v>2.2400000000000002</v>
      </c>
      <c r="C26" s="8" t="s">
        <v>122</v>
      </c>
    </row>
    <row r="27" spans="1:3" x14ac:dyDescent="0.3">
      <c r="A27" s="5" t="s">
        <v>123</v>
      </c>
      <c r="B27" s="15">
        <f>(B11*(28/24.45))/1000</f>
        <v>0.11451942740286299</v>
      </c>
      <c r="C27" s="8" t="s">
        <v>124</v>
      </c>
    </row>
    <row r="28" spans="1:3" x14ac:dyDescent="0.3">
      <c r="A28" s="5" t="s">
        <v>125</v>
      </c>
      <c r="B28" s="9">
        <f>B26/B27</f>
        <v>19.560000000000002</v>
      </c>
      <c r="C28" s="8" t="s">
        <v>126</v>
      </c>
    </row>
    <row r="29" spans="1:3" x14ac:dyDescent="0.3">
      <c r="A29" s="5" t="s">
        <v>127</v>
      </c>
      <c r="B29" s="9">
        <f>B28/B20</f>
        <v>0.24904565495019784</v>
      </c>
      <c r="C29" s="8" t="s">
        <v>128</v>
      </c>
    </row>
    <row r="31" spans="1:3" ht="19.95" customHeight="1" x14ac:dyDescent="0.3">
      <c r="A31" s="18" t="s">
        <v>129</v>
      </c>
      <c r="B31" s="17"/>
      <c r="C31" s="17"/>
    </row>
    <row r="32" spans="1:3" x14ac:dyDescent="0.3">
      <c r="A32" s="5" t="s">
        <v>130</v>
      </c>
      <c r="B32" s="9">
        <f>(9.81*B12*1000/(B13*B14*B15*B20))^(1/3)</f>
        <v>2.184635246920501</v>
      </c>
      <c r="C32" s="8" t="s">
        <v>128</v>
      </c>
    </row>
    <row r="33" spans="1:3" x14ac:dyDescent="0.3">
      <c r="A33" s="5" t="s">
        <v>131</v>
      </c>
      <c r="B33" s="9">
        <f>MAX(B29,B32)</f>
        <v>2.184635246920501</v>
      </c>
      <c r="C33" s="8" t="s">
        <v>128</v>
      </c>
    </row>
    <row r="34" spans="1:3" x14ac:dyDescent="0.3">
      <c r="A34" s="5" t="s">
        <v>132</v>
      </c>
      <c r="B34" s="13" t="str">
        <f>IF(AND(B33&gt;=1,B33&lt;=10),"OK","CHECK RANGE")</f>
        <v>OK</v>
      </c>
    </row>
    <row r="36" spans="1:3" ht="19.95" customHeight="1" x14ac:dyDescent="0.3">
      <c r="A36" s="18" t="s">
        <v>133</v>
      </c>
      <c r="B36" s="17"/>
      <c r="C36" s="17"/>
    </row>
    <row r="37" spans="1:3" x14ac:dyDescent="0.3">
      <c r="A37" s="5" t="s">
        <v>134</v>
      </c>
      <c r="B37" s="9">
        <f>B16*(B5/B21)*(B13*B33^2/2)</f>
        <v>4.5817259156039025</v>
      </c>
      <c r="C37" s="8" t="s">
        <v>135</v>
      </c>
    </row>
    <row r="38" spans="1:3" x14ac:dyDescent="0.3">
      <c r="A38" s="5" t="s">
        <v>136</v>
      </c>
      <c r="B38" s="9">
        <f>B37*B20</f>
        <v>359.84791193057976</v>
      </c>
      <c r="C38" s="8" t="s">
        <v>114</v>
      </c>
    </row>
    <row r="39" spans="1:3" x14ac:dyDescent="0.3">
      <c r="A39" s="5" t="s">
        <v>137</v>
      </c>
      <c r="B39" s="14">
        <f>ROUNDUP(B38/B17,0)</f>
        <v>1</v>
      </c>
      <c r="C39" s="8" t="s">
        <v>138</v>
      </c>
    </row>
  </sheetData>
  <mergeCells count="5">
    <mergeCell ref="A36:C36"/>
    <mergeCell ref="A19:C19"/>
    <mergeCell ref="A23:C23"/>
    <mergeCell ref="A31:C31"/>
    <mergeCell ref="A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6" customWidth="1"/>
    <col min="2" max="2" width="16" customWidth="1"/>
    <col min="3" max="3" width="30" customWidth="1"/>
  </cols>
  <sheetData>
    <row r="1" spans="1:3" ht="21" x14ac:dyDescent="0.4">
      <c r="A1" s="1" t="s">
        <v>139</v>
      </c>
    </row>
    <row r="2" spans="1:3" x14ac:dyDescent="0.3">
      <c r="A2" s="6" t="s">
        <v>140</v>
      </c>
    </row>
    <row r="4" spans="1:3" ht="19.95" customHeight="1" x14ac:dyDescent="0.3">
      <c r="A4" s="18" t="s">
        <v>39</v>
      </c>
      <c r="B4" s="17"/>
      <c r="C4" s="17"/>
    </row>
    <row r="5" spans="1:3" x14ac:dyDescent="0.3">
      <c r="A5" s="5" t="s">
        <v>93</v>
      </c>
      <c r="B5" s="7">
        <v>800</v>
      </c>
      <c r="C5" s="8" t="s">
        <v>41</v>
      </c>
    </row>
    <row r="6" spans="1:3" x14ac:dyDescent="0.3">
      <c r="A6" s="5" t="s">
        <v>141</v>
      </c>
      <c r="B6" s="7">
        <v>5.0000000000000001E-3</v>
      </c>
      <c r="C6" s="8" t="s">
        <v>98</v>
      </c>
    </row>
    <row r="7" spans="1:3" x14ac:dyDescent="0.3">
      <c r="A7" s="5" t="s">
        <v>142</v>
      </c>
      <c r="B7" s="7">
        <v>0.02</v>
      </c>
      <c r="C7" s="8" t="s">
        <v>143</v>
      </c>
    </row>
    <row r="8" spans="1:3" x14ac:dyDescent="0.3">
      <c r="A8" s="5" t="s">
        <v>144</v>
      </c>
      <c r="B8" s="7">
        <v>0.85</v>
      </c>
      <c r="C8" s="8" t="s">
        <v>54</v>
      </c>
    </row>
    <row r="9" spans="1:3" x14ac:dyDescent="0.3">
      <c r="A9" s="5" t="s">
        <v>145</v>
      </c>
      <c r="B9" s="7">
        <v>75</v>
      </c>
      <c r="C9" s="8" t="s">
        <v>146</v>
      </c>
    </row>
    <row r="10" spans="1:3" x14ac:dyDescent="0.3">
      <c r="A10" s="5" t="s">
        <v>147</v>
      </c>
      <c r="B10" s="7">
        <v>0.6</v>
      </c>
      <c r="C10" s="8" t="s">
        <v>148</v>
      </c>
    </row>
    <row r="11" spans="1:3" x14ac:dyDescent="0.3">
      <c r="A11" s="5" t="s">
        <v>149</v>
      </c>
      <c r="B11" s="7">
        <v>1.2999999999999999E-2</v>
      </c>
      <c r="C11" s="8" t="s">
        <v>54</v>
      </c>
    </row>
    <row r="12" spans="1:3" x14ac:dyDescent="0.3">
      <c r="A12" s="5" t="s">
        <v>150</v>
      </c>
      <c r="B12" s="7">
        <v>0.3</v>
      </c>
      <c r="C12" s="8" t="s">
        <v>41</v>
      </c>
    </row>
    <row r="13" spans="1:3" x14ac:dyDescent="0.3">
      <c r="A13" s="5" t="s">
        <v>151</v>
      </c>
      <c r="B13" s="7">
        <v>10</v>
      </c>
      <c r="C13" s="8" t="s">
        <v>152</v>
      </c>
    </row>
    <row r="14" spans="1:3" x14ac:dyDescent="0.3">
      <c r="A14" s="5" t="s">
        <v>153</v>
      </c>
      <c r="B14" s="7">
        <v>1.25</v>
      </c>
      <c r="C14" s="8" t="s">
        <v>54</v>
      </c>
    </row>
    <row r="16" spans="1:3" ht="19.95" customHeight="1" x14ac:dyDescent="0.3">
      <c r="A16" s="18" t="s">
        <v>154</v>
      </c>
      <c r="B16" s="17"/>
      <c r="C16" s="17"/>
    </row>
    <row r="17" spans="1:6" x14ac:dyDescent="0.3">
      <c r="A17" s="5" t="s">
        <v>155</v>
      </c>
      <c r="B17" s="9">
        <f>B7*B5</f>
        <v>16</v>
      </c>
      <c r="C17" s="8" t="s">
        <v>156</v>
      </c>
    </row>
    <row r="18" spans="1:6" x14ac:dyDescent="0.3">
      <c r="A18" s="5" t="s">
        <v>157</v>
      </c>
      <c r="B18" s="9">
        <f>B8*B9*B10/360*1000</f>
        <v>106.25</v>
      </c>
      <c r="C18" s="8" t="s">
        <v>156</v>
      </c>
    </row>
    <row r="19" spans="1:6" x14ac:dyDescent="0.3">
      <c r="A19" s="5" t="s">
        <v>158</v>
      </c>
      <c r="B19" s="9">
        <f>B17+B18</f>
        <v>122.25</v>
      </c>
      <c r="C19" s="8" t="s">
        <v>156</v>
      </c>
    </row>
    <row r="21" spans="1:6" ht="19.95" customHeight="1" x14ac:dyDescent="0.3">
      <c r="A21" s="18" t="s">
        <v>159</v>
      </c>
      <c r="B21" s="17"/>
      <c r="C21" s="17"/>
    </row>
    <row r="22" spans="1:6" x14ac:dyDescent="0.3">
      <c r="A22" s="5" t="s">
        <v>160</v>
      </c>
      <c r="B22" s="15">
        <f>PI()*B12^2/4</f>
        <v>7.0685834705770348E-2</v>
      </c>
      <c r="C22" s="8" t="s">
        <v>77</v>
      </c>
    </row>
    <row r="23" spans="1:6" x14ac:dyDescent="0.3">
      <c r="A23" s="5" t="s">
        <v>161</v>
      </c>
      <c r="B23" s="15">
        <f>B12/4</f>
        <v>7.4999999999999997E-2</v>
      </c>
      <c r="C23" s="8" t="s">
        <v>41</v>
      </c>
    </row>
    <row r="24" spans="1:6" x14ac:dyDescent="0.3">
      <c r="A24" s="5" t="s">
        <v>162</v>
      </c>
      <c r="B24" s="9">
        <f>(1/B11)*B22*B23^(2/3)*B6^0.5*1000</f>
        <v>68.377762104960425</v>
      </c>
      <c r="C24" s="8" t="s">
        <v>156</v>
      </c>
    </row>
    <row r="25" spans="1:6" x14ac:dyDescent="0.3">
      <c r="A25" s="5" t="s">
        <v>163</v>
      </c>
      <c r="B25" s="13" t="str">
        <f>IF(B24&gt;=B19,"OK - adequate","UNDERSIZED - increase diameter")</f>
        <v>UNDERSIZED - increase diameter</v>
      </c>
    </row>
    <row r="27" spans="1:6" ht="19.95" customHeight="1" x14ac:dyDescent="0.3">
      <c r="A27" s="18" t="s">
        <v>164</v>
      </c>
      <c r="B27" s="17"/>
      <c r="C27" s="17"/>
    </row>
    <row r="28" spans="1:6" x14ac:dyDescent="0.3">
      <c r="E28" s="3" t="s">
        <v>165</v>
      </c>
      <c r="F28" s="3" t="s">
        <v>166</v>
      </c>
    </row>
    <row r="29" spans="1:6" x14ac:dyDescent="0.3">
      <c r="E29" s="5">
        <v>0.15</v>
      </c>
      <c r="F29" s="12">
        <f>(1/B11)*(PI()*E29^2/4)*(E29/4)^(2/3)*B6^0.5*1000</f>
        <v>10.768822727592948</v>
      </c>
    </row>
    <row r="30" spans="1:6" x14ac:dyDescent="0.3">
      <c r="E30" s="5">
        <v>0.2</v>
      </c>
      <c r="F30" s="12">
        <f>(1/B11)*(PI()*E30^2/4)*(E30/4)^(2/3)*B6^0.5*1000</f>
        <v>23.191999453473098</v>
      </c>
    </row>
    <row r="31" spans="1:6" x14ac:dyDescent="0.3">
      <c r="E31" s="5">
        <v>0.25</v>
      </c>
      <c r="F31" s="12">
        <f>(1/B11)*(PI()*E31^2/4)*(E31/4)^(2/3)*B6^0.5*1000</f>
        <v>42.049892848591554</v>
      </c>
    </row>
    <row r="32" spans="1:6" x14ac:dyDescent="0.3">
      <c r="E32" s="5">
        <v>0.3</v>
      </c>
      <c r="F32" s="12">
        <f>(1/B11)*(PI()*E32^2/4)*(E32/4)^(2/3)*B6^0.5*1000</f>
        <v>68.377762104960425</v>
      </c>
    </row>
    <row r="33" spans="1:6" x14ac:dyDescent="0.3">
      <c r="E33" s="5">
        <v>0.4</v>
      </c>
      <c r="F33" s="12">
        <f>(1/B11)*(PI()*E33^2/4)*(E33/4)^(2/3)*B6^0.5*1000</f>
        <v>147.26001731875647</v>
      </c>
    </row>
    <row r="34" spans="1:6" x14ac:dyDescent="0.3">
      <c r="E34" s="5">
        <v>0.45</v>
      </c>
      <c r="F34" s="12">
        <f>(1/B11)*(PI()*E34^2/4)*(E34/4)^(2/3)*B6^0.5*1000</f>
        <v>201.60048554081806</v>
      </c>
    </row>
    <row r="35" spans="1:6" x14ac:dyDescent="0.3">
      <c r="E35" s="5">
        <v>0.5</v>
      </c>
      <c r="F35" s="12">
        <f>(1/B11)*(PI()*E35^2/4)*(E35/4)^(2/3)*B6^0.5*1000</f>
        <v>267.00017657201727</v>
      </c>
    </row>
    <row r="36" spans="1:6" x14ac:dyDescent="0.3">
      <c r="E36" s="5">
        <v>0.6</v>
      </c>
      <c r="F36" s="12">
        <f>(1/B11)*(PI()*E36^2/4)*(E36/4)^(2/3)*B6^0.5*1000</f>
        <v>434.17172598658186</v>
      </c>
    </row>
    <row r="37" spans="1:6" x14ac:dyDescent="0.3">
      <c r="E37" s="5">
        <v>0.75</v>
      </c>
      <c r="F37" s="12">
        <f>(1/B11)*(PI()*E37^2/4)*(E37/4)^(2/3)*B6^0.5*1000</f>
        <v>787.20571687879124</v>
      </c>
    </row>
    <row r="38" spans="1:6" x14ac:dyDescent="0.3">
      <c r="E38" s="5">
        <v>0.9</v>
      </c>
      <c r="F38" s="12">
        <f>(1/B11)*(PI()*E38^2/4)*(E38/4)^(2/3)*B6^0.5*1000</f>
        <v>1280.0832912991771</v>
      </c>
    </row>
    <row r="40" spans="1:6" x14ac:dyDescent="0.3">
      <c r="A40" s="5" t="s">
        <v>167</v>
      </c>
      <c r="B40" s="13">
        <f>IFERROR(INDEX(E29:E38,COUNTIF(F29:F38,"&lt;"&amp;B19)+1),"Increase table range")</f>
        <v>0.4</v>
      </c>
      <c r="C40" s="8" t="s">
        <v>41</v>
      </c>
    </row>
    <row r="42" spans="1:6" ht="19.95" customHeight="1" x14ac:dyDescent="0.3">
      <c r="A42" s="18" t="s">
        <v>168</v>
      </c>
      <c r="B42" s="17"/>
      <c r="C42" s="17"/>
    </row>
    <row r="43" spans="1:6" x14ac:dyDescent="0.3">
      <c r="A43" s="5" t="s">
        <v>169</v>
      </c>
      <c r="B43" s="9">
        <f>B19*B14</f>
        <v>152.8125</v>
      </c>
      <c r="C43" s="8" t="s">
        <v>156</v>
      </c>
    </row>
    <row r="44" spans="1:6" x14ac:dyDescent="0.3">
      <c r="A44" s="5" t="s">
        <v>170</v>
      </c>
      <c r="B44" s="9">
        <f>(B43/1000)*(B13*60)</f>
        <v>91.6875</v>
      </c>
      <c r="C44" s="8" t="s">
        <v>79</v>
      </c>
    </row>
    <row r="45" spans="1:6" x14ac:dyDescent="0.3">
      <c r="A45" s="5" t="s">
        <v>171</v>
      </c>
      <c r="B45" s="9">
        <f>B43</f>
        <v>152.8125</v>
      </c>
      <c r="C45" s="8" t="s">
        <v>156</v>
      </c>
    </row>
  </sheetData>
  <mergeCells count="5">
    <mergeCell ref="A42:C42"/>
    <mergeCell ref="A27:C27"/>
    <mergeCell ref="A21:C21"/>
    <mergeCell ref="A4:C4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Design_Basis</vt:lpstr>
      <vt:lpstr>Structural_Lining</vt:lpstr>
      <vt:lpstr>Ventilation</vt:lpstr>
      <vt:lpstr>Drainage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2026-08-24T17:20:00Z</dcterms:created>
  <dcterms:modified xsi:type="dcterms:W3CDTF">2026-08-24T17:24:13Z</dcterms:modified>
</cp:coreProperties>
</file>